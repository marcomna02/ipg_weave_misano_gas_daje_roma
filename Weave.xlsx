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co\OneDrive\Desktop\muner\dynamics\progetto\"/>
    </mc:Choice>
  </mc:AlternateContent>
  <xr:revisionPtr revIDLastSave="0" documentId="13_ncr:1_{8539722D-5930-43DF-9FB8-8527059FBE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td_scen_mo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2" i="2"/>
  <c r="G7" i="2"/>
  <c r="G15" i="2"/>
  <c r="G14" i="2"/>
  <c r="G13" i="2"/>
  <c r="G11" i="2"/>
  <c r="G10" i="2"/>
  <c r="G9" i="2"/>
  <c r="G8" i="2"/>
  <c r="G6" i="2"/>
  <c r="G5" i="2"/>
  <c r="G4" i="2"/>
  <c r="G3" i="2"/>
  <c r="G27" i="1"/>
  <c r="G25" i="1"/>
  <c r="G26" i="1"/>
  <c r="G24" i="1"/>
  <c r="G23" i="1"/>
  <c r="G22" i="1"/>
  <c r="G17" i="1"/>
  <c r="G19" i="1"/>
  <c r="G20" i="1"/>
  <c r="G21" i="1"/>
  <c r="G16" i="1"/>
  <c r="G5" i="1"/>
  <c r="G6" i="1"/>
  <c r="G7" i="1"/>
  <c r="G8" i="1"/>
  <c r="G9" i="1"/>
  <c r="G10" i="1"/>
  <c r="G11" i="1"/>
  <c r="G12" i="1"/>
  <c r="G13" i="1"/>
  <c r="G14" i="1"/>
  <c r="G15" i="1"/>
  <c r="G4" i="1"/>
</calcChain>
</file>

<file path=xl/sharedStrings.xml><?xml version="1.0" encoding="utf-8"?>
<sst xmlns="http://schemas.openxmlformats.org/spreadsheetml/2006/main" count="118" uniqueCount="72">
  <si>
    <t>PARAMETER</t>
  </si>
  <si>
    <t>OLD VALUE</t>
  </si>
  <si>
    <t>NEW VALUE</t>
  </si>
  <si>
    <t>V_CRIT</t>
  </si>
  <si>
    <t>DIFFERENCE</t>
  </si>
  <si>
    <t>DESCRIPTION</t>
  </si>
  <si>
    <t>Standard configuration</t>
  </si>
  <si>
    <t>/</t>
  </si>
  <si>
    <t>RIDER</t>
  </si>
  <si>
    <t>STANDARD</t>
  </si>
  <si>
    <t>RACER</t>
  </si>
  <si>
    <t>COG HEIGHT</t>
  </si>
  <si>
    <t>Give 20kg of mass to engine in Body-Structure-engine</t>
  </si>
  <si>
    <t>0 kg</t>
  </si>
  <si>
    <t>20 kg</t>
  </si>
  <si>
    <t>New reference</t>
  </si>
  <si>
    <t>RIDER Z POSITION</t>
  </si>
  <si>
    <t>BODY Z POSITION</t>
  </si>
  <si>
    <t>RIDER MOUNT Z POSITION</t>
  </si>
  <si>
    <t>CASTER ANGLE</t>
  </si>
  <si>
    <t>POINT ON STEERING AXLE X POSITION</t>
  </si>
  <si>
    <t>Theoretically, I decreased the wheel axle offset</t>
  </si>
  <si>
    <t>Theoretically, I increased the wheel axle offset</t>
  </si>
  <si>
    <t>7+9</t>
  </si>
  <si>
    <t>NORMAL TRAIL DECREASE = GOOD</t>
  </si>
  <si>
    <t>POINT ON STEERING AXLE Z POSITION</t>
  </si>
  <si>
    <t>Theoretically, I increased the wheel axle distance from ground.</t>
  </si>
  <si>
    <t>LENGTH l0 FRONT STROKE</t>
  </si>
  <si>
    <t>FRONT TIRE SIZE</t>
  </si>
  <si>
    <t>110/80</t>
  </si>
  <si>
    <t>120/70</t>
  </si>
  <si>
    <t>The new tire has a larger outer diameter --&gt; bigger trail</t>
  </si>
  <si>
    <t>LENGTH l0 REAR SUSPENSION</t>
  </si>
  <si>
    <t>ESPLODE LA SIMULAZIONE</t>
  </si>
  <si>
    <t>REAR SUSPENSION STIFFNESS</t>
  </si>
  <si>
    <t>300000 N/m</t>
  </si>
  <si>
    <t>47746 N/m</t>
  </si>
  <si>
    <t>FRONT SUSPENSION STIFFNESS</t>
  </si>
  <si>
    <t>REAR KINEMATICS</t>
  </si>
  <si>
    <t>SWING ARM</t>
  </si>
  <si>
    <t>PRO LINK</t>
  </si>
  <si>
    <t>SWINGARM MASS</t>
  </si>
  <si>
    <t>LOWER SPRING POSITION</t>
  </si>
  <si>
    <t>The rear suspension spring will be more leaned and so more progressive in stiffness</t>
  </si>
  <si>
    <t>UPPER SPRING POSITION</t>
  </si>
  <si>
    <t>APMLIFICATION FULL LOAD POWER</t>
  </si>
  <si>
    <t>THIS DEMONSTRATES THAT THE BIKE IS STABLE NOW</t>
  </si>
  <si>
    <t>Weave characterisation</t>
  </si>
  <si>
    <t>Improvement WRT configuration number 1</t>
  </si>
  <si>
    <t>2+7+9+11+15+19+20 at 1xamplification</t>
  </si>
  <si>
    <t>Weave characterisation with updated model</t>
  </si>
  <si>
    <t>0.5496 m</t>
  </si>
  <si>
    <t>0.5 m</t>
  </si>
  <si>
    <t>lower cog of body +ice (same value before and after)</t>
  </si>
  <si>
    <t>final decision</t>
  </si>
  <si>
    <t>mantain</t>
  </si>
  <si>
    <t>go back- no effect</t>
  </si>
  <si>
    <t>go back- decrease v</t>
  </si>
  <si>
    <t>RIDER MOUNT X POSITION</t>
  </si>
  <si>
    <t>0.7542</t>
  </si>
  <si>
    <t xml:space="preserve">mantain </t>
  </si>
  <si>
    <t>lower of 5 cm</t>
  </si>
  <si>
    <t>advanced of 5 cm rider seat</t>
  </si>
  <si>
    <t>go back - no effect</t>
  </si>
  <si>
    <t>open caster</t>
  </si>
  <si>
    <t>350000, 35000</t>
  </si>
  <si>
    <t>300000 N/m 300000</t>
  </si>
  <si>
    <t>47746 N/m 4774.6</t>
  </si>
  <si>
    <t>50000 5000</t>
  </si>
  <si>
    <t>stifness of front raise</t>
  </si>
  <si>
    <t>stifness of rear raise</t>
  </si>
  <si>
    <t>increase mass of swingarm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</si>
</sst>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3" fontId="0" fillId="0" borderId="1" xfId="0" applyNumberFormat="1" applyBorder="1"/>
  </cellXfs>
  <cellStyles count="2">
    <cellStyle name="Normale" xfId="0" builtinId="0"/>
    <cellStyle name="Percentual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65790</xdr:colOff>
      <xdr:row>2</xdr:row>
      <xdr:rowOff>22860</xdr:rowOff>
    </xdr:from>
    <xdr:to>
      <xdr:col>20</xdr:col>
      <xdr:colOff>77151</xdr:colOff>
      <xdr:row>20</xdr:row>
      <xdr:rowOff>46752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A1C1773-CD80-4978-8583-E3BE1BF6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1870" y="388620"/>
          <a:ext cx="3059361" cy="3315732"/>
        </a:xfrm>
        <a:prstGeom prst="rect">
          <a:avLst/>
        </a:prstGeom>
      </xdr:spPr>
    </xdr:pic>
    <xdr:clientData/>
  </xdr:twoCellAnchor>
  <xdr:twoCellAnchor>
    <xdr:from>
      <xdr:col>2</xdr:col>
      <xdr:colOff>1501140</xdr:colOff>
      <xdr:row>12</xdr:row>
      <xdr:rowOff>91440</xdr:rowOff>
    </xdr:from>
    <xdr:to>
      <xdr:col>17</xdr:col>
      <xdr:colOff>472440</xdr:colOff>
      <xdr:row>17</xdr:row>
      <xdr:rowOff>106680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15B53308-E095-8C57-A5DD-891644D5AE13}"/>
            </a:ext>
          </a:extLst>
        </xdr:cNvPr>
        <xdr:cNvCxnSpPr/>
      </xdr:nvCxnSpPr>
      <xdr:spPr>
        <a:xfrm>
          <a:off x="2720340" y="2286000"/>
          <a:ext cx="9517380" cy="92964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708660</xdr:colOff>
      <xdr:row>30</xdr:row>
      <xdr:rowOff>129540</xdr:rowOff>
    </xdr:from>
    <xdr:ext cx="6134100" cy="609013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865F1E03-3451-DD24-4E1A-D8D710DA554C}"/>
            </a:ext>
          </a:extLst>
        </xdr:cNvPr>
        <xdr:cNvSpPr txBox="1"/>
      </xdr:nvSpPr>
      <xdr:spPr>
        <a:xfrm>
          <a:off x="1927860" y="5615940"/>
          <a:ext cx="613410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>
              <a:solidFill>
                <a:srgbClr val="FF0000"/>
              </a:solidFill>
            </a:rPr>
            <a:t>Results: the bike stays many seconds at 302,7 km/h circa without being affected by weave instability. </a:t>
          </a:r>
        </a:p>
        <a:p>
          <a:r>
            <a:rPr lang="it-IT" sz="1100">
              <a:solidFill>
                <a:srgbClr val="FF0000"/>
              </a:solidFill>
            </a:rPr>
            <a:t>Given the new EU regulations about the speed limit, no "on-road" bike will reach more than 299 km/h. </a:t>
          </a:r>
        </a:p>
        <a:p>
          <a:r>
            <a:rPr lang="it-IT" sz="1100">
              <a:solidFill>
                <a:srgbClr val="FF0000"/>
              </a:solidFill>
            </a:rPr>
            <a:t>Then, we can consider our bike STABLE.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3"/>
  <sheetViews>
    <sheetView workbookViewId="0">
      <selection activeCell="B3" sqref="B3:O27"/>
    </sheetView>
  </sheetViews>
  <sheetFormatPr defaultRowHeight="14.4" x14ac:dyDescent="0.3"/>
  <cols>
    <col min="3" max="3" width="34.6640625" customWidth="1"/>
    <col min="4" max="4" width="10.6640625" customWidth="1"/>
    <col min="5" max="5" width="10.77734375" customWidth="1"/>
    <col min="6" max="6" width="7.109375" customWidth="1"/>
    <col min="7" max="7" width="11" customWidth="1"/>
    <col min="8" max="8" width="11.88671875" customWidth="1"/>
  </cols>
  <sheetData>
    <row r="2" spans="2:15" x14ac:dyDescent="0.3">
      <c r="B2" s="9" t="s">
        <v>47</v>
      </c>
      <c r="C2" s="9"/>
      <c r="D2" s="9"/>
    </row>
    <row r="3" spans="2:15" x14ac:dyDescent="0.3"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10" t="s">
        <v>5</v>
      </c>
      <c r="I3" s="11"/>
      <c r="J3" s="11"/>
      <c r="K3" s="11"/>
      <c r="L3" s="11"/>
      <c r="M3" s="11"/>
      <c r="N3" s="11"/>
      <c r="O3" s="12"/>
    </row>
    <row r="4" spans="2:15" x14ac:dyDescent="0.3">
      <c r="B4" s="4">
        <v>0</v>
      </c>
      <c r="C4" s="1" t="s">
        <v>7</v>
      </c>
      <c r="D4" s="1" t="s">
        <v>7</v>
      </c>
      <c r="E4" s="1" t="s">
        <v>7</v>
      </c>
      <c r="F4" s="1">
        <v>269</v>
      </c>
      <c r="G4" s="2">
        <f>(F4-$F$4)/100</f>
        <v>0</v>
      </c>
      <c r="H4" s="6" t="s">
        <v>6</v>
      </c>
      <c r="I4" s="7"/>
      <c r="J4" s="7"/>
      <c r="K4" s="7"/>
      <c r="L4" s="7"/>
      <c r="M4" s="7"/>
      <c r="N4" s="7"/>
      <c r="O4" s="8"/>
    </row>
    <row r="5" spans="2:15" x14ac:dyDescent="0.3">
      <c r="B5" s="4">
        <v>1</v>
      </c>
      <c r="C5" s="1" t="s">
        <v>8</v>
      </c>
      <c r="D5" s="1" t="s">
        <v>9</v>
      </c>
      <c r="E5" s="1" t="s">
        <v>10</v>
      </c>
      <c r="F5" s="1">
        <v>292.39999999999998</v>
      </c>
      <c r="G5" s="2">
        <f>(F5-$F$4)/100</f>
        <v>0.23399999999999976</v>
      </c>
      <c r="H5" s="6" t="s">
        <v>15</v>
      </c>
      <c r="I5" s="7"/>
      <c r="J5" s="7"/>
      <c r="K5" s="7"/>
      <c r="L5" s="7"/>
      <c r="M5" s="7"/>
      <c r="N5" s="7"/>
      <c r="O5" s="8"/>
    </row>
    <row r="6" spans="2:15" x14ac:dyDescent="0.3">
      <c r="B6" s="4">
        <v>2</v>
      </c>
      <c r="C6" s="1" t="s">
        <v>11</v>
      </c>
      <c r="D6" s="1" t="s">
        <v>13</v>
      </c>
      <c r="E6" s="1" t="s">
        <v>14</v>
      </c>
      <c r="F6" s="1">
        <v>293.7</v>
      </c>
      <c r="G6" s="2">
        <f t="shared" ref="G6:G22" si="0">(F6-$F$5)/100</f>
        <v>1.3000000000000114E-2</v>
      </c>
      <c r="H6" s="6" t="s">
        <v>12</v>
      </c>
      <c r="I6" s="7"/>
      <c r="J6" s="7"/>
      <c r="K6" s="7"/>
      <c r="L6" s="7"/>
      <c r="M6" s="7"/>
      <c r="N6" s="7"/>
      <c r="O6" s="8"/>
    </row>
    <row r="7" spans="2:15" x14ac:dyDescent="0.3">
      <c r="B7" s="4">
        <v>3</v>
      </c>
      <c r="C7" s="1" t="s">
        <v>16</v>
      </c>
      <c r="D7" s="1">
        <v>1.0444</v>
      </c>
      <c r="E7" s="1">
        <v>0.8</v>
      </c>
      <c r="F7" s="1">
        <v>290.39999999999998</v>
      </c>
      <c r="G7" s="2">
        <f t="shared" si="0"/>
        <v>-0.02</v>
      </c>
      <c r="H7" s="6"/>
      <c r="I7" s="7"/>
      <c r="J7" s="7"/>
      <c r="K7" s="7"/>
      <c r="L7" s="7"/>
      <c r="M7" s="7"/>
      <c r="N7" s="7"/>
      <c r="O7" s="8"/>
    </row>
    <row r="8" spans="2:15" x14ac:dyDescent="0.3">
      <c r="B8" s="4">
        <v>4</v>
      </c>
      <c r="C8" s="1" t="s">
        <v>17</v>
      </c>
      <c r="D8" s="1">
        <v>0.54959999999999998</v>
      </c>
      <c r="E8" s="1">
        <v>0.49</v>
      </c>
      <c r="F8" s="1">
        <v>290</v>
      </c>
      <c r="G8" s="2">
        <f t="shared" si="0"/>
        <v>-2.3999999999999772E-2</v>
      </c>
      <c r="H8" s="6"/>
      <c r="I8" s="7"/>
      <c r="J8" s="7"/>
      <c r="K8" s="7"/>
      <c r="L8" s="7"/>
      <c r="M8" s="7"/>
      <c r="N8" s="7"/>
      <c r="O8" s="8"/>
    </row>
    <row r="9" spans="2:15" x14ac:dyDescent="0.3">
      <c r="B9" s="4">
        <v>5</v>
      </c>
      <c r="C9" s="1" t="s">
        <v>17</v>
      </c>
      <c r="D9" s="1">
        <v>0.49</v>
      </c>
      <c r="E9" s="1">
        <v>0.4</v>
      </c>
      <c r="F9" s="1">
        <v>290.60000000000002</v>
      </c>
      <c r="G9" s="2">
        <f t="shared" si="0"/>
        <v>-1.7999999999999544E-2</v>
      </c>
      <c r="H9" s="6"/>
      <c r="I9" s="7"/>
      <c r="J9" s="7"/>
      <c r="K9" s="7"/>
      <c r="L9" s="7"/>
      <c r="M9" s="7"/>
      <c r="N9" s="7"/>
      <c r="O9" s="8"/>
    </row>
    <row r="10" spans="2:15" x14ac:dyDescent="0.3">
      <c r="B10" s="4">
        <v>6</v>
      </c>
      <c r="C10" s="1" t="s">
        <v>18</v>
      </c>
      <c r="D10" s="1">
        <v>0.82499999999999996</v>
      </c>
      <c r="E10" s="1">
        <v>0.75</v>
      </c>
      <c r="F10" s="1">
        <v>291.5</v>
      </c>
      <c r="G10" s="2">
        <f t="shared" si="0"/>
        <v>-8.9999999999997721E-3</v>
      </c>
      <c r="H10" s="6"/>
      <c r="I10" s="7"/>
      <c r="J10" s="7"/>
      <c r="K10" s="7"/>
      <c r="L10" s="7"/>
      <c r="M10" s="7"/>
      <c r="N10" s="7"/>
      <c r="O10" s="8"/>
    </row>
    <row r="11" spans="2:15" x14ac:dyDescent="0.3">
      <c r="B11" s="4">
        <v>7</v>
      </c>
      <c r="C11" s="1" t="s">
        <v>19</v>
      </c>
      <c r="D11" s="1">
        <v>-24.5</v>
      </c>
      <c r="E11" s="1">
        <v>-27</v>
      </c>
      <c r="F11" s="1">
        <v>292.8</v>
      </c>
      <c r="G11" s="2">
        <f t="shared" si="0"/>
        <v>4.000000000000341E-3</v>
      </c>
      <c r="H11" s="6"/>
      <c r="I11" s="7"/>
      <c r="J11" s="7"/>
      <c r="K11" s="7"/>
      <c r="L11" s="7"/>
      <c r="M11" s="7"/>
      <c r="N11" s="7"/>
      <c r="O11" s="8"/>
    </row>
    <row r="12" spans="2:15" x14ac:dyDescent="0.3">
      <c r="B12" s="4">
        <v>8</v>
      </c>
      <c r="C12" s="1" t="s">
        <v>20</v>
      </c>
      <c r="D12" s="1">
        <v>1.776</v>
      </c>
      <c r="E12" s="1">
        <v>1.7</v>
      </c>
      <c r="F12" s="1">
        <v>274.10000000000002</v>
      </c>
      <c r="G12" s="2">
        <f t="shared" si="0"/>
        <v>-0.18299999999999955</v>
      </c>
      <c r="H12" s="6" t="s">
        <v>21</v>
      </c>
      <c r="I12" s="7"/>
      <c r="J12" s="7"/>
      <c r="K12" s="7"/>
      <c r="L12" s="7"/>
      <c r="M12" s="7"/>
      <c r="N12" s="7"/>
      <c r="O12" s="8"/>
    </row>
    <row r="13" spans="2:15" x14ac:dyDescent="0.3">
      <c r="B13" s="4">
        <v>9</v>
      </c>
      <c r="C13" s="1" t="s">
        <v>20</v>
      </c>
      <c r="D13" s="1">
        <v>1.776</v>
      </c>
      <c r="E13" s="1">
        <v>1.82</v>
      </c>
      <c r="F13" s="1">
        <v>295.60000000000002</v>
      </c>
      <c r="G13" s="2">
        <f t="shared" si="0"/>
        <v>3.2000000000000452E-2</v>
      </c>
      <c r="H13" s="6" t="s">
        <v>22</v>
      </c>
      <c r="I13" s="7"/>
      <c r="J13" s="7"/>
      <c r="K13" s="7"/>
      <c r="L13" s="7"/>
      <c r="M13" s="7"/>
      <c r="N13" s="7"/>
      <c r="O13" s="8"/>
    </row>
    <row r="14" spans="2:15" x14ac:dyDescent="0.3">
      <c r="B14" s="4">
        <v>10</v>
      </c>
      <c r="C14" s="1" t="s">
        <v>23</v>
      </c>
      <c r="D14" s="1"/>
      <c r="E14" s="1"/>
      <c r="F14" s="1">
        <v>281.60000000000002</v>
      </c>
      <c r="G14" s="2">
        <f t="shared" si="0"/>
        <v>-0.10799999999999954</v>
      </c>
      <c r="H14" s="6" t="s">
        <v>24</v>
      </c>
      <c r="I14" s="7"/>
      <c r="J14" s="7"/>
      <c r="K14" s="7"/>
      <c r="L14" s="7"/>
      <c r="M14" s="7"/>
      <c r="N14" s="7"/>
      <c r="O14" s="8"/>
    </row>
    <row r="15" spans="2:15" x14ac:dyDescent="0.3">
      <c r="B15" s="4">
        <v>11</v>
      </c>
      <c r="C15" s="1" t="s">
        <v>25</v>
      </c>
      <c r="D15" s="1">
        <v>0.29830000000000001</v>
      </c>
      <c r="E15" s="1">
        <v>0.35</v>
      </c>
      <c r="F15" s="1">
        <v>294.3</v>
      </c>
      <c r="G15" s="2">
        <f t="shared" si="0"/>
        <v>1.900000000000034E-2</v>
      </c>
      <c r="H15" s="6" t="s">
        <v>26</v>
      </c>
      <c r="I15" s="7"/>
      <c r="J15" s="7"/>
      <c r="K15" s="7"/>
      <c r="L15" s="7"/>
      <c r="M15" s="7"/>
      <c r="N15" s="7"/>
      <c r="O15" s="8"/>
    </row>
    <row r="16" spans="2:15" x14ac:dyDescent="0.3">
      <c r="B16" s="4">
        <v>12</v>
      </c>
      <c r="C16" s="1" t="s">
        <v>27</v>
      </c>
      <c r="D16" s="1">
        <v>2.18E-2</v>
      </c>
      <c r="E16" s="1">
        <v>2.3E-2</v>
      </c>
      <c r="F16" s="1">
        <v>291.7</v>
      </c>
      <c r="G16" s="2">
        <f t="shared" si="0"/>
        <v>-6.9999999999998865E-3</v>
      </c>
      <c r="H16" s="6"/>
      <c r="I16" s="7"/>
      <c r="J16" s="7"/>
      <c r="K16" s="7"/>
      <c r="L16" s="7"/>
      <c r="M16" s="7"/>
      <c r="N16" s="7"/>
      <c r="O16" s="8"/>
    </row>
    <row r="17" spans="2:15" x14ac:dyDescent="0.3">
      <c r="B17" s="4">
        <v>13</v>
      </c>
      <c r="C17" s="1" t="s">
        <v>28</v>
      </c>
      <c r="D17" s="1" t="s">
        <v>30</v>
      </c>
      <c r="E17" s="1" t="s">
        <v>29</v>
      </c>
      <c r="F17" s="1">
        <v>290.5</v>
      </c>
      <c r="G17" s="2">
        <f t="shared" si="0"/>
        <v>-1.8999999999999774E-2</v>
      </c>
      <c r="H17" s="6" t="s">
        <v>31</v>
      </c>
      <c r="I17" s="7"/>
      <c r="J17" s="7"/>
      <c r="K17" s="7"/>
      <c r="L17" s="7"/>
      <c r="M17" s="7"/>
      <c r="N17" s="7"/>
      <c r="O17" s="8"/>
    </row>
    <row r="18" spans="2:15" x14ac:dyDescent="0.3">
      <c r="B18" s="4">
        <v>14</v>
      </c>
      <c r="C18" s="1" t="s">
        <v>32</v>
      </c>
      <c r="D18" s="1">
        <v>0.23</v>
      </c>
      <c r="E18" s="1">
        <v>0.26</v>
      </c>
      <c r="F18" s="1"/>
      <c r="G18" s="2"/>
      <c r="H18" s="6" t="s">
        <v>33</v>
      </c>
      <c r="I18" s="7"/>
      <c r="J18" s="7"/>
      <c r="K18" s="7"/>
      <c r="L18" s="7"/>
      <c r="M18" s="7"/>
      <c r="N18" s="7"/>
      <c r="O18" s="8"/>
    </row>
    <row r="19" spans="2:15" x14ac:dyDescent="0.3">
      <c r="B19" s="4">
        <v>15</v>
      </c>
      <c r="C19" s="1" t="s">
        <v>34</v>
      </c>
      <c r="D19" s="1" t="s">
        <v>35</v>
      </c>
      <c r="E19" s="1">
        <v>350000</v>
      </c>
      <c r="F19" s="1">
        <v>302</v>
      </c>
      <c r="G19" s="2">
        <f t="shared" si="0"/>
        <v>9.6000000000000224E-2</v>
      </c>
      <c r="H19" s="6"/>
      <c r="I19" s="7"/>
      <c r="J19" s="7"/>
      <c r="K19" s="7"/>
      <c r="L19" s="7"/>
      <c r="M19" s="7"/>
      <c r="N19" s="7"/>
      <c r="O19" s="8"/>
    </row>
    <row r="20" spans="2:15" x14ac:dyDescent="0.3">
      <c r="B20" s="4">
        <v>16</v>
      </c>
      <c r="C20" s="1" t="s">
        <v>37</v>
      </c>
      <c r="D20" s="1" t="s">
        <v>36</v>
      </c>
      <c r="E20" s="1">
        <v>18000</v>
      </c>
      <c r="F20" s="1">
        <v>292</v>
      </c>
      <c r="G20" s="2">
        <f t="shared" si="0"/>
        <v>-3.9999999999997728E-3</v>
      </c>
      <c r="H20" s="6"/>
      <c r="I20" s="7"/>
      <c r="J20" s="7"/>
      <c r="K20" s="7"/>
      <c r="L20" s="7"/>
      <c r="M20" s="7"/>
      <c r="N20" s="7"/>
      <c r="O20" s="8"/>
    </row>
    <row r="21" spans="2:15" x14ac:dyDescent="0.3">
      <c r="B21" s="4">
        <v>17</v>
      </c>
      <c r="C21" s="1" t="s">
        <v>37</v>
      </c>
      <c r="D21" s="1"/>
      <c r="E21" s="1">
        <v>24000</v>
      </c>
      <c r="F21" s="1">
        <v>288.7</v>
      </c>
      <c r="G21" s="2">
        <f t="shared" si="0"/>
        <v>-3.6999999999999887E-2</v>
      </c>
      <c r="H21" s="6"/>
      <c r="I21" s="7"/>
      <c r="J21" s="7"/>
      <c r="K21" s="7"/>
      <c r="L21" s="7"/>
      <c r="M21" s="7"/>
      <c r="N21" s="7"/>
      <c r="O21" s="8"/>
    </row>
    <row r="22" spans="2:15" x14ac:dyDescent="0.3">
      <c r="B22" s="4">
        <v>18</v>
      </c>
      <c r="C22" s="1" t="s">
        <v>38</v>
      </c>
      <c r="D22" s="1" t="s">
        <v>39</v>
      </c>
      <c r="E22" s="1" t="s">
        <v>40</v>
      </c>
      <c r="F22" s="1">
        <v>301.3</v>
      </c>
      <c r="G22" s="2">
        <f t="shared" si="0"/>
        <v>8.9000000000000343E-2</v>
      </c>
      <c r="H22" s="6" t="s">
        <v>15</v>
      </c>
      <c r="I22" s="7"/>
      <c r="J22" s="7"/>
      <c r="K22" s="7"/>
      <c r="L22" s="7"/>
      <c r="M22" s="7"/>
      <c r="N22" s="7"/>
      <c r="O22" s="8"/>
    </row>
    <row r="23" spans="2:15" x14ac:dyDescent="0.3">
      <c r="B23" s="4">
        <v>19</v>
      </c>
      <c r="C23" s="1" t="s">
        <v>41</v>
      </c>
      <c r="D23" s="1">
        <v>3.13</v>
      </c>
      <c r="E23" s="1">
        <v>5</v>
      </c>
      <c r="F23" s="1">
        <v>301.7</v>
      </c>
      <c r="G23" s="2">
        <f>(F23-$F$22)/100</f>
        <v>3.9999999999997728E-3</v>
      </c>
      <c r="H23" s="6"/>
      <c r="I23" s="7"/>
      <c r="J23" s="7"/>
      <c r="K23" s="7"/>
      <c r="L23" s="7"/>
      <c r="M23" s="7"/>
      <c r="N23" s="7"/>
      <c r="O23" s="8"/>
    </row>
    <row r="24" spans="2:15" x14ac:dyDescent="0.3">
      <c r="B24" s="4">
        <v>20</v>
      </c>
      <c r="C24" s="1" t="s">
        <v>42</v>
      </c>
      <c r="D24" s="1">
        <v>0.76500000000000001</v>
      </c>
      <c r="E24" s="1">
        <v>0.75</v>
      </c>
      <c r="F24" s="1">
        <v>301.89999999999998</v>
      </c>
      <c r="G24" s="2">
        <f>(F24-$F$22)/100</f>
        <v>5.9999999999996593E-3</v>
      </c>
      <c r="H24" s="1" t="s">
        <v>43</v>
      </c>
      <c r="I24" s="1"/>
      <c r="J24" s="1"/>
      <c r="K24" s="1"/>
      <c r="L24" s="1"/>
      <c r="M24" s="1"/>
      <c r="N24" s="1"/>
      <c r="O24" s="1"/>
    </row>
    <row r="25" spans="2:15" x14ac:dyDescent="0.3">
      <c r="B25" s="4">
        <v>21</v>
      </c>
      <c r="C25" s="1" t="s">
        <v>44</v>
      </c>
      <c r="D25" s="1">
        <v>0.81899999999999995</v>
      </c>
      <c r="E25" s="1">
        <v>0.85</v>
      </c>
      <c r="F25" s="1">
        <v>301.7</v>
      </c>
      <c r="G25" s="2">
        <f t="shared" ref="G25:G26" si="1">(F25-$F$22)/100</f>
        <v>3.9999999999997728E-3</v>
      </c>
      <c r="H25" s="1" t="s">
        <v>43</v>
      </c>
      <c r="I25" s="1"/>
      <c r="J25" s="1"/>
      <c r="K25" s="1"/>
      <c r="L25" s="1"/>
      <c r="M25" s="1"/>
      <c r="N25" s="1"/>
      <c r="O25" s="1"/>
    </row>
    <row r="26" spans="2:15" x14ac:dyDescent="0.3">
      <c r="B26" s="4">
        <v>22</v>
      </c>
      <c r="C26" s="1" t="s">
        <v>45</v>
      </c>
      <c r="D26" s="1">
        <v>1</v>
      </c>
      <c r="E26" s="1">
        <v>1.2</v>
      </c>
      <c r="F26" s="1">
        <v>303</v>
      </c>
      <c r="G26" s="2">
        <f t="shared" si="1"/>
        <v>1.6999999999999887E-2</v>
      </c>
      <c r="H26" s="6" t="s">
        <v>46</v>
      </c>
      <c r="I26" s="7"/>
      <c r="J26" s="7"/>
      <c r="K26" s="7"/>
      <c r="L26" s="7"/>
      <c r="M26" s="7"/>
      <c r="N26" s="7"/>
      <c r="O26" s="8"/>
    </row>
    <row r="27" spans="2:15" x14ac:dyDescent="0.3">
      <c r="B27" s="4">
        <v>23</v>
      </c>
      <c r="C27" s="1" t="s">
        <v>49</v>
      </c>
      <c r="D27" s="1"/>
      <c r="E27" s="1"/>
      <c r="F27" s="1">
        <v>302.7</v>
      </c>
      <c r="G27" s="2">
        <f>(F27-$F$5)/100</f>
        <v>0.10300000000000012</v>
      </c>
      <c r="H27" s="6" t="s">
        <v>48</v>
      </c>
      <c r="I27" s="7"/>
      <c r="J27" s="7"/>
      <c r="K27" s="7"/>
      <c r="L27" s="7"/>
      <c r="M27" s="7"/>
      <c r="N27" s="7"/>
      <c r="O27" s="8"/>
    </row>
    <row r="29" spans="2:15" x14ac:dyDescent="0.3">
      <c r="B29" s="5"/>
      <c r="C29" s="5"/>
      <c r="D29" s="5"/>
      <c r="E29" s="5"/>
      <c r="F29" s="5"/>
      <c r="G29" s="5"/>
      <c r="H29" s="5"/>
      <c r="I29" s="5"/>
    </row>
    <row r="30" spans="2:15" x14ac:dyDescent="0.3">
      <c r="B30" s="5"/>
      <c r="C30" s="5"/>
      <c r="D30" s="5"/>
      <c r="E30" s="5"/>
      <c r="F30" s="5"/>
      <c r="G30" s="5"/>
      <c r="H30" s="5"/>
      <c r="I30" s="5"/>
    </row>
    <row r="31" spans="2:15" x14ac:dyDescent="0.3">
      <c r="B31" s="5"/>
      <c r="C31" s="5"/>
      <c r="D31" s="5"/>
      <c r="E31" s="5"/>
      <c r="F31" s="5"/>
      <c r="G31" s="5"/>
      <c r="H31" s="5"/>
      <c r="I31" s="5"/>
    </row>
    <row r="32" spans="2:15" x14ac:dyDescent="0.3">
      <c r="B32" s="5"/>
      <c r="C32" s="5"/>
      <c r="D32" s="5"/>
      <c r="E32" s="5"/>
      <c r="F32" s="5"/>
      <c r="G32" s="5"/>
      <c r="H32" s="5"/>
      <c r="I32" s="5"/>
    </row>
    <row r="33" spans="2:9" x14ac:dyDescent="0.3">
      <c r="B33" s="5"/>
      <c r="C33" s="5"/>
      <c r="D33" s="5"/>
      <c r="E33" s="5"/>
      <c r="F33" s="5"/>
      <c r="G33" s="5"/>
      <c r="H33" s="5"/>
      <c r="I33" s="5"/>
    </row>
    <row r="34" spans="2:9" x14ac:dyDescent="0.3">
      <c r="B34" s="5"/>
      <c r="C34" s="5"/>
      <c r="D34" s="5"/>
      <c r="E34" s="5"/>
      <c r="F34" s="5"/>
      <c r="G34" s="5"/>
      <c r="H34" s="5"/>
      <c r="I34" s="5"/>
    </row>
    <row r="35" spans="2:9" x14ac:dyDescent="0.3">
      <c r="B35" s="5"/>
      <c r="C35" s="5"/>
      <c r="D35" s="5"/>
      <c r="E35" s="5"/>
      <c r="F35" s="5"/>
      <c r="G35" s="5"/>
      <c r="H35" s="5"/>
      <c r="I35" s="5"/>
    </row>
    <row r="36" spans="2:9" x14ac:dyDescent="0.3">
      <c r="B36" s="5"/>
      <c r="C36" s="5"/>
      <c r="D36" s="5"/>
      <c r="E36" s="5"/>
      <c r="F36" s="5"/>
      <c r="G36" s="5"/>
      <c r="H36" s="5"/>
      <c r="I36" s="5"/>
    </row>
    <row r="37" spans="2:9" x14ac:dyDescent="0.3">
      <c r="B37" s="5"/>
      <c r="C37" s="5"/>
      <c r="D37" s="5"/>
      <c r="E37" s="5"/>
      <c r="F37" s="5"/>
      <c r="G37" s="5"/>
      <c r="H37" s="5"/>
      <c r="I37" s="5"/>
    </row>
    <row r="38" spans="2:9" x14ac:dyDescent="0.3">
      <c r="B38" s="5"/>
      <c r="C38" s="5"/>
      <c r="D38" s="5"/>
      <c r="E38" s="5"/>
      <c r="F38" s="5"/>
      <c r="G38" s="5"/>
      <c r="H38" s="5"/>
      <c r="I38" s="5"/>
    </row>
    <row r="39" spans="2:9" x14ac:dyDescent="0.3">
      <c r="B39" s="5"/>
      <c r="C39" s="5"/>
      <c r="D39" s="5"/>
      <c r="E39" s="5"/>
      <c r="F39" s="5"/>
      <c r="G39" s="5"/>
      <c r="H39" s="5"/>
      <c r="I39" s="5"/>
    </row>
    <row r="40" spans="2:9" x14ac:dyDescent="0.3">
      <c r="B40" s="5"/>
      <c r="C40" s="5"/>
      <c r="D40" s="5"/>
      <c r="E40" s="5"/>
      <c r="F40" s="5"/>
      <c r="G40" s="5"/>
      <c r="H40" s="5"/>
      <c r="I40" s="5"/>
    </row>
    <row r="41" spans="2:9" x14ac:dyDescent="0.3">
      <c r="B41" s="5"/>
      <c r="C41" s="5"/>
      <c r="D41" s="5"/>
      <c r="E41" s="5"/>
      <c r="F41" s="5"/>
      <c r="G41" s="5"/>
      <c r="H41" s="5"/>
      <c r="I41" s="5"/>
    </row>
    <row r="42" spans="2:9" x14ac:dyDescent="0.3">
      <c r="B42" s="5"/>
      <c r="C42" s="5"/>
      <c r="D42" s="5"/>
      <c r="E42" s="5"/>
      <c r="F42" s="5"/>
      <c r="G42" s="5"/>
      <c r="H42" s="5"/>
      <c r="I42" s="5"/>
    </row>
    <row r="43" spans="2:9" x14ac:dyDescent="0.3">
      <c r="B43" s="5"/>
      <c r="C43" s="5"/>
      <c r="D43" s="5"/>
      <c r="E43" s="5"/>
      <c r="F43" s="5"/>
      <c r="G43" s="5"/>
      <c r="H43" s="5"/>
      <c r="I43" s="5"/>
    </row>
  </sheetData>
  <mergeCells count="24">
    <mergeCell ref="H3:O3"/>
    <mergeCell ref="H4:O4"/>
    <mergeCell ref="H8:O8"/>
    <mergeCell ref="H9:O9"/>
    <mergeCell ref="H26:O26"/>
    <mergeCell ref="H23:O23"/>
    <mergeCell ref="H22:O22"/>
    <mergeCell ref="H21:O21"/>
    <mergeCell ref="H14:O14"/>
    <mergeCell ref="B2:D2"/>
    <mergeCell ref="H27:O27"/>
    <mergeCell ref="H20:O20"/>
    <mergeCell ref="H19:O19"/>
    <mergeCell ref="H18:O18"/>
    <mergeCell ref="H17:O17"/>
    <mergeCell ref="H16:O16"/>
    <mergeCell ref="H15:O15"/>
    <mergeCell ref="H7:O7"/>
    <mergeCell ref="H6:O6"/>
    <mergeCell ref="H5:O5"/>
    <mergeCell ref="H13:O13"/>
    <mergeCell ref="H12:O12"/>
    <mergeCell ref="H11:O11"/>
    <mergeCell ref="H10:O10"/>
  </mergeCells>
  <conditionalFormatting sqref="G4 G6:G21 G23:G2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CAD2-3FD6-4DEB-9B10-A427AC523334}">
  <dimension ref="B1:W16"/>
  <sheetViews>
    <sheetView tabSelected="1" topLeftCell="B1" workbookViewId="0">
      <selection activeCell="C27" sqref="C27"/>
    </sheetView>
  </sheetViews>
  <sheetFormatPr defaultRowHeight="14.4" x14ac:dyDescent="0.3"/>
  <cols>
    <col min="3" max="3" width="54.44140625" customWidth="1"/>
    <col min="4" max="4" width="21.44140625" customWidth="1"/>
    <col min="5" max="5" width="14.6640625" customWidth="1"/>
    <col min="18" max="18" width="3.88671875" customWidth="1"/>
    <col min="19" max="19" width="8.88671875" hidden="1" customWidth="1"/>
    <col min="20" max="20" width="3.33203125" hidden="1" customWidth="1"/>
    <col min="21" max="23" width="8.88671875" hidden="1" customWidth="1"/>
  </cols>
  <sheetData>
    <row r="1" spans="2:23" x14ac:dyDescent="0.3">
      <c r="B1" s="9" t="s">
        <v>50</v>
      </c>
      <c r="C1" s="9"/>
      <c r="D1" s="9"/>
    </row>
    <row r="2" spans="2:23" x14ac:dyDescent="0.3">
      <c r="B2" s="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10" t="s">
        <v>5</v>
      </c>
      <c r="I2" s="11"/>
      <c r="J2" s="11"/>
      <c r="K2" s="11"/>
      <c r="L2" s="11"/>
      <c r="M2" s="11"/>
      <c r="N2" s="11"/>
      <c r="O2" s="12"/>
      <c r="P2" s="10" t="s">
        <v>54</v>
      </c>
      <c r="Q2" s="11"/>
      <c r="R2" s="11"/>
      <c r="S2" s="11"/>
      <c r="T2" s="11"/>
      <c r="U2" s="11"/>
      <c r="V2" s="11"/>
      <c r="W2" s="12"/>
    </row>
    <row r="3" spans="2:23" x14ac:dyDescent="0.3">
      <c r="B3" s="4">
        <v>0</v>
      </c>
      <c r="C3" s="1" t="s">
        <v>7</v>
      </c>
      <c r="D3" s="1" t="s">
        <v>7</v>
      </c>
      <c r="E3" s="1" t="s">
        <v>7</v>
      </c>
      <c r="F3" s="1">
        <v>297</v>
      </c>
      <c r="G3" s="2">
        <f>(F3-$F$4)/100</f>
        <v>-0.05</v>
      </c>
      <c r="H3" s="6" t="s">
        <v>6</v>
      </c>
      <c r="I3" s="7"/>
      <c r="J3" s="7"/>
      <c r="K3" s="7"/>
      <c r="L3" s="7"/>
      <c r="M3" s="7"/>
      <c r="N3" s="7"/>
      <c r="O3" s="8"/>
      <c r="P3" s="6"/>
      <c r="Q3" s="7"/>
      <c r="R3" s="7"/>
      <c r="S3" s="7"/>
      <c r="T3" s="7"/>
      <c r="U3" s="7"/>
      <c r="V3" s="7"/>
      <c r="W3" s="8"/>
    </row>
    <row r="4" spans="2:23" x14ac:dyDescent="0.3">
      <c r="B4" s="4">
        <v>1</v>
      </c>
      <c r="C4" s="1" t="s">
        <v>8</v>
      </c>
      <c r="D4" s="1" t="s">
        <v>9</v>
      </c>
      <c r="E4" s="1" t="s">
        <v>10</v>
      </c>
      <c r="F4" s="1">
        <v>302</v>
      </c>
      <c r="G4" s="2">
        <f>(F4-$F$4)/100</f>
        <v>0</v>
      </c>
      <c r="H4" s="6" t="s">
        <v>15</v>
      </c>
      <c r="I4" s="7"/>
      <c r="J4" s="7"/>
      <c r="K4" s="7"/>
      <c r="L4" s="7"/>
      <c r="M4" s="7"/>
      <c r="N4" s="7"/>
      <c r="O4" s="8"/>
      <c r="P4" s="13" t="s">
        <v>55</v>
      </c>
      <c r="Q4" s="14"/>
      <c r="R4" s="14"/>
      <c r="S4" s="14"/>
      <c r="T4" s="14"/>
      <c r="U4" s="14"/>
      <c r="V4" s="14"/>
      <c r="W4" s="15"/>
    </row>
    <row r="5" spans="2:23" x14ac:dyDescent="0.3">
      <c r="B5" s="4">
        <v>2</v>
      </c>
      <c r="C5" s="1" t="s">
        <v>17</v>
      </c>
      <c r="D5" s="1" t="s">
        <v>51</v>
      </c>
      <c r="E5" s="1" t="s">
        <v>52</v>
      </c>
      <c r="F5" s="1">
        <v>302</v>
      </c>
      <c r="G5" s="2">
        <f t="shared" ref="G5:G11" si="0">(F5-$F$5)/100</f>
        <v>0</v>
      </c>
      <c r="H5" s="6" t="s">
        <v>53</v>
      </c>
      <c r="I5" s="7"/>
      <c r="J5" s="7"/>
      <c r="K5" s="7"/>
      <c r="L5" s="7"/>
      <c r="M5" s="7"/>
      <c r="N5" s="7"/>
      <c r="O5" s="8"/>
      <c r="P5" s="6" t="s">
        <v>56</v>
      </c>
      <c r="Q5" s="7"/>
      <c r="R5" s="7"/>
      <c r="S5" s="7"/>
      <c r="T5" s="7"/>
      <c r="U5" s="7"/>
      <c r="V5" s="7"/>
      <c r="W5" s="8"/>
    </row>
    <row r="6" spans="2:23" x14ac:dyDescent="0.3">
      <c r="B6" s="4">
        <v>3</v>
      </c>
      <c r="C6" s="1" t="s">
        <v>16</v>
      </c>
      <c r="D6" s="1">
        <v>1.0444</v>
      </c>
      <c r="E6" s="1">
        <v>0.9</v>
      </c>
      <c r="F6" s="1">
        <v>301</v>
      </c>
      <c r="G6" s="2">
        <f t="shared" si="0"/>
        <v>-0.01</v>
      </c>
      <c r="H6" s="6"/>
      <c r="I6" s="7"/>
      <c r="J6" s="7"/>
      <c r="K6" s="7"/>
      <c r="L6" s="7"/>
      <c r="M6" s="7"/>
      <c r="N6" s="7"/>
      <c r="O6" s="8"/>
      <c r="P6" s="6" t="s">
        <v>57</v>
      </c>
      <c r="Q6" s="7"/>
      <c r="R6" s="7"/>
      <c r="S6" s="7"/>
      <c r="T6" s="7"/>
      <c r="U6" s="7"/>
      <c r="V6" s="7"/>
      <c r="W6" s="8"/>
    </row>
    <row r="7" spans="2:23" x14ac:dyDescent="0.3">
      <c r="B7" s="4">
        <v>6</v>
      </c>
      <c r="C7" s="1" t="s">
        <v>58</v>
      </c>
      <c r="D7" s="1" t="s">
        <v>59</v>
      </c>
      <c r="E7" s="1">
        <v>0.8</v>
      </c>
      <c r="F7" s="1">
        <v>302.07</v>
      </c>
      <c r="G7" s="2">
        <f t="shared" ref="G7" si="1">(F7-$F$5)/100</f>
        <v>6.999999999999318E-4</v>
      </c>
      <c r="H7" s="6" t="s">
        <v>62</v>
      </c>
      <c r="I7" s="7"/>
      <c r="J7" s="7"/>
      <c r="K7" s="7"/>
      <c r="L7" s="7"/>
      <c r="M7" s="7"/>
      <c r="N7" s="7"/>
      <c r="O7" s="8"/>
      <c r="P7" s="13" t="s">
        <v>60</v>
      </c>
      <c r="Q7" s="14"/>
      <c r="R7" s="14"/>
      <c r="S7" s="14"/>
      <c r="T7" s="14"/>
      <c r="U7" s="14"/>
      <c r="V7" s="14"/>
      <c r="W7" s="15"/>
    </row>
    <row r="8" spans="2:23" x14ac:dyDescent="0.3">
      <c r="B8" s="4">
        <v>6</v>
      </c>
      <c r="C8" s="1" t="s">
        <v>18</v>
      </c>
      <c r="D8" s="1">
        <v>0.82499999999999996</v>
      </c>
      <c r="E8" s="1">
        <v>0.75</v>
      </c>
      <c r="F8" s="1">
        <v>302.07</v>
      </c>
      <c r="G8" s="2">
        <f t="shared" si="0"/>
        <v>6.999999999999318E-4</v>
      </c>
      <c r="H8" s="6" t="s">
        <v>61</v>
      </c>
      <c r="I8" s="7"/>
      <c r="J8" s="7"/>
      <c r="K8" s="7"/>
      <c r="L8" s="7"/>
      <c r="M8" s="7"/>
      <c r="N8" s="7"/>
      <c r="O8" s="8"/>
      <c r="P8" s="6" t="s">
        <v>63</v>
      </c>
      <c r="Q8" s="7"/>
      <c r="R8" s="7"/>
      <c r="S8" s="7"/>
      <c r="T8" s="7"/>
      <c r="U8" s="7"/>
      <c r="V8" s="7"/>
      <c r="W8" s="8"/>
    </row>
    <row r="9" spans="2:23" x14ac:dyDescent="0.3">
      <c r="B9" s="4">
        <v>7</v>
      </c>
      <c r="C9" s="1" t="s">
        <v>19</v>
      </c>
      <c r="D9" s="1">
        <v>-24.5</v>
      </c>
      <c r="E9" s="1">
        <v>-27</v>
      </c>
      <c r="F9" s="1">
        <v>302.2</v>
      </c>
      <c r="G9" s="2">
        <f t="shared" si="0"/>
        <v>1.9999999999998864E-3</v>
      </c>
      <c r="H9" s="6" t="s">
        <v>64</v>
      </c>
      <c r="I9" s="7"/>
      <c r="J9" s="7"/>
      <c r="K9" s="7"/>
      <c r="L9" s="7"/>
      <c r="M9" s="7"/>
      <c r="N9" s="7"/>
      <c r="O9" s="8"/>
      <c r="P9" s="13" t="s">
        <v>60</v>
      </c>
      <c r="Q9" s="14"/>
      <c r="R9" s="14"/>
      <c r="S9" s="14"/>
      <c r="T9" s="14"/>
      <c r="U9" s="14"/>
      <c r="V9" s="14"/>
      <c r="W9" s="15"/>
    </row>
    <row r="10" spans="2:23" x14ac:dyDescent="0.3">
      <c r="B10" s="4">
        <v>15</v>
      </c>
      <c r="C10" s="1" t="s">
        <v>34</v>
      </c>
      <c r="D10" s="1" t="s">
        <v>66</v>
      </c>
      <c r="E10" s="1" t="s">
        <v>65</v>
      </c>
      <c r="F10" s="1">
        <v>302.25</v>
      </c>
      <c r="G10" s="2">
        <f t="shared" si="0"/>
        <v>2.5000000000000001E-3</v>
      </c>
      <c r="H10" s="6" t="s">
        <v>70</v>
      </c>
      <c r="I10" s="7"/>
      <c r="J10" s="7"/>
      <c r="K10" s="7"/>
      <c r="L10" s="7"/>
      <c r="M10" s="7"/>
      <c r="N10" s="7"/>
      <c r="O10" s="8"/>
      <c r="P10" s="13" t="s">
        <v>60</v>
      </c>
      <c r="Q10" s="14"/>
      <c r="R10" s="14"/>
      <c r="S10" s="14"/>
      <c r="T10" s="14"/>
      <c r="U10" s="14"/>
      <c r="V10" s="14"/>
      <c r="W10" s="15"/>
    </row>
    <row r="11" spans="2:23" x14ac:dyDescent="0.3">
      <c r="B11" s="4">
        <v>16</v>
      </c>
      <c r="C11" s="1" t="s">
        <v>37</v>
      </c>
      <c r="D11" s="1" t="s">
        <v>67</v>
      </c>
      <c r="E11" s="1" t="s">
        <v>68</v>
      </c>
      <c r="F11" s="1">
        <v>302.25</v>
      </c>
      <c r="G11" s="2">
        <f t="shared" si="0"/>
        <v>2.5000000000000001E-3</v>
      </c>
      <c r="H11" s="6" t="s">
        <v>69</v>
      </c>
      <c r="I11" s="7"/>
      <c r="J11" s="7"/>
      <c r="K11" s="7"/>
      <c r="L11" s="7"/>
      <c r="M11" s="7"/>
      <c r="N11" s="7"/>
      <c r="O11" s="8"/>
      <c r="P11" s="6" t="s">
        <v>63</v>
      </c>
      <c r="Q11" s="7"/>
      <c r="R11" s="7"/>
      <c r="S11" s="7"/>
      <c r="T11" s="7"/>
      <c r="U11" s="7"/>
      <c r="V11" s="7"/>
      <c r="W11" s="8"/>
    </row>
    <row r="12" spans="2:23" x14ac:dyDescent="0.3">
      <c r="B12" s="4">
        <v>19</v>
      </c>
      <c r="C12" s="1" t="s">
        <v>41</v>
      </c>
      <c r="D12" s="16">
        <v>3.1385000000000001</v>
      </c>
      <c r="E12" s="1">
        <v>5</v>
      </c>
      <c r="F12" s="1">
        <v>302.37</v>
      </c>
      <c r="G12" s="2">
        <f>(F12-F4)/100</f>
        <v>3.7000000000000453E-3</v>
      </c>
      <c r="H12" s="6" t="s">
        <v>71</v>
      </c>
      <c r="I12" s="7"/>
      <c r="J12" s="7"/>
      <c r="K12" s="7"/>
      <c r="L12" s="7"/>
      <c r="M12" s="7"/>
      <c r="N12" s="7"/>
      <c r="O12" s="8"/>
      <c r="P12" s="13" t="s">
        <v>60</v>
      </c>
      <c r="Q12" s="14"/>
      <c r="R12" s="14"/>
      <c r="S12" s="14"/>
      <c r="T12" s="14"/>
      <c r="U12" s="14"/>
      <c r="V12" s="14"/>
      <c r="W12" s="15"/>
    </row>
    <row r="13" spans="2:23" x14ac:dyDescent="0.3">
      <c r="B13" s="4">
        <v>20</v>
      </c>
      <c r="C13" s="1" t="s">
        <v>42</v>
      </c>
      <c r="D13" s="1">
        <v>0.76500000000000001</v>
      </c>
      <c r="E13" s="1">
        <v>0.75</v>
      </c>
      <c r="F13" s="1">
        <v>301.89999999999998</v>
      </c>
      <c r="G13" s="2">
        <f>(F13-$F$12)/100</f>
        <v>-4.7000000000002725E-3</v>
      </c>
      <c r="H13" s="1" t="s">
        <v>43</v>
      </c>
      <c r="I13" s="1"/>
      <c r="J13" s="1"/>
      <c r="K13" s="1"/>
      <c r="L13" s="1"/>
      <c r="M13" s="1"/>
      <c r="N13" s="1"/>
      <c r="O13" s="1"/>
      <c r="P13" s="6" t="s">
        <v>57</v>
      </c>
      <c r="Q13" s="7"/>
      <c r="R13" s="7"/>
      <c r="S13" s="7"/>
      <c r="T13" s="7"/>
      <c r="U13" s="7"/>
      <c r="V13" s="7"/>
      <c r="W13" s="8"/>
    </row>
    <row r="14" spans="2:23" x14ac:dyDescent="0.3">
      <c r="B14" s="4">
        <v>21</v>
      </c>
      <c r="C14" s="1" t="s">
        <v>44</v>
      </c>
      <c r="D14" s="1">
        <v>0.81899999999999995</v>
      </c>
      <c r="E14" s="1">
        <v>0.85</v>
      </c>
      <c r="F14" s="1">
        <v>301.7</v>
      </c>
      <c r="G14" s="2">
        <f t="shared" ref="G14:G15" si="2">(F14-$F$12)/100</f>
        <v>-6.700000000000159E-3</v>
      </c>
      <c r="H14" s="1" t="s">
        <v>43</v>
      </c>
      <c r="I14" s="1"/>
      <c r="J14" s="1"/>
      <c r="K14" s="1"/>
      <c r="L14" s="1"/>
      <c r="M14" s="1"/>
      <c r="N14" s="1"/>
      <c r="O14" s="1"/>
      <c r="P14" s="6" t="s">
        <v>57</v>
      </c>
      <c r="Q14" s="7"/>
      <c r="R14" s="7"/>
      <c r="S14" s="7"/>
      <c r="T14" s="7"/>
      <c r="U14" s="7"/>
      <c r="V14" s="7"/>
      <c r="W14" s="8"/>
    </row>
    <row r="15" spans="2:23" x14ac:dyDescent="0.3">
      <c r="B15" s="4">
        <v>22</v>
      </c>
      <c r="C15" s="1" t="s">
        <v>45</v>
      </c>
      <c r="D15" s="1">
        <v>1</v>
      </c>
      <c r="E15" s="1">
        <v>1.2</v>
      </c>
      <c r="F15" s="1">
        <v>303</v>
      </c>
      <c r="G15" s="2">
        <f t="shared" si="2"/>
        <v>6.2999999999999549E-3</v>
      </c>
      <c r="H15" s="6" t="s">
        <v>46</v>
      </c>
      <c r="I15" s="7"/>
      <c r="J15" s="7"/>
      <c r="K15" s="7"/>
      <c r="L15" s="7"/>
      <c r="M15" s="7"/>
      <c r="N15" s="7"/>
      <c r="O15" s="8"/>
      <c r="P15" s="6" t="s">
        <v>46</v>
      </c>
      <c r="Q15" s="7"/>
      <c r="R15" s="7"/>
      <c r="S15" s="7"/>
      <c r="T15" s="7"/>
      <c r="U15" s="7"/>
      <c r="V15" s="7"/>
      <c r="W15" s="8"/>
    </row>
    <row r="16" spans="2:23" x14ac:dyDescent="0.3">
      <c r="B16" s="4">
        <v>24</v>
      </c>
      <c r="C16" s="1" t="s">
        <v>8</v>
      </c>
      <c r="D16" s="1" t="s">
        <v>10</v>
      </c>
      <c r="E16" s="1" t="s">
        <v>9</v>
      </c>
      <c r="F16" s="1">
        <v>300.10000000000002</v>
      </c>
      <c r="G16" s="2">
        <f>(F16-$F3)/100</f>
        <v>3.1000000000000229E-2</v>
      </c>
      <c r="H16" s="6" t="s">
        <v>15</v>
      </c>
      <c r="I16" s="7"/>
      <c r="J16" s="7"/>
      <c r="K16" s="7"/>
      <c r="L16" s="7"/>
      <c r="M16" s="7"/>
      <c r="N16" s="7"/>
      <c r="O16" s="8"/>
      <c r="P16" s="13" t="s">
        <v>55</v>
      </c>
      <c r="Q16" s="14"/>
      <c r="R16" s="14"/>
      <c r="S16" s="14"/>
      <c r="T16" s="14"/>
      <c r="U16" s="14"/>
      <c r="V16" s="14"/>
      <c r="W16" s="15"/>
    </row>
  </sheetData>
  <mergeCells count="29">
    <mergeCell ref="P12:W12"/>
    <mergeCell ref="P15:W15"/>
    <mergeCell ref="H7:O7"/>
    <mergeCell ref="P7:W7"/>
    <mergeCell ref="H16:O16"/>
    <mergeCell ref="P16:W16"/>
    <mergeCell ref="P13:W13"/>
    <mergeCell ref="P14:W14"/>
    <mergeCell ref="P10:W10"/>
    <mergeCell ref="P11:W11"/>
    <mergeCell ref="P8:W8"/>
    <mergeCell ref="P9:W9"/>
    <mergeCell ref="P2:W2"/>
    <mergeCell ref="P3:W3"/>
    <mergeCell ref="P4:W4"/>
    <mergeCell ref="P5:W5"/>
    <mergeCell ref="P6:W6"/>
    <mergeCell ref="H11:O11"/>
    <mergeCell ref="H12:O12"/>
    <mergeCell ref="H15:O15"/>
    <mergeCell ref="H10:O10"/>
    <mergeCell ref="H8:O8"/>
    <mergeCell ref="H9:O9"/>
    <mergeCell ref="B1:D1"/>
    <mergeCell ref="H2:O2"/>
    <mergeCell ref="H3:O3"/>
    <mergeCell ref="H4:O4"/>
    <mergeCell ref="H5:O5"/>
    <mergeCell ref="H6:O6"/>
  </mergeCells>
  <conditionalFormatting sqref="G3 G5:G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std_scen_mod1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La Pera</dc:creator>
  <cp:lastModifiedBy>MARCO MANASIA</cp:lastModifiedBy>
  <dcterms:created xsi:type="dcterms:W3CDTF">2015-06-05T18:17:20Z</dcterms:created>
  <dcterms:modified xsi:type="dcterms:W3CDTF">2025-12-19T13:25:15Z</dcterms:modified>
</cp:coreProperties>
</file>